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920"/>
  </bookViews>
  <sheets>
    <sheet name="Transactions" sheetId="1" r:id="rId1"/>
    <sheet name="Monthly Summary" sheetId="2" r:id="rId2"/>
    <sheet name="Dashboard" sheetId="3" r:id="rId3"/>
    <sheet name="Expense Analysis" sheetId="4" r:id="rId4"/>
    <sheet name="Monthwise Analysis" sheetId="5" r:id="rId5"/>
    <sheet name="Yearly Analy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<sst xmlns="http://schemas.openxmlformats.org/spreadsheetml/2006/main" count="102" uniqueCount="74">
  <si>
    <t>Date</t>
  </si>
  <si>
    <t>Category</t>
  </si>
  <si>
    <t>Description</t>
  </si>
  <si>
    <t>Amount</t>
  </si>
  <si>
    <t>Type</t>
  </si>
  <si>
    <t>Month</t>
  </si>
  <si>
    <t>Payment Mode</t>
  </si>
  <si>
    <t>Merchant/App</t>
  </si>
  <si>
    <t>Notes</t>
  </si>
  <si>
    <t>2026-05-01</t>
  </si>
  <si>
    <t>Salary</t>
  </si>
  <si>
    <t>Monthly Salary</t>
  </si>
  <si>
    <t>Income</t>
  </si>
  <si>
    <t>2026-05-02</t>
  </si>
  <si>
    <t>Rent</t>
  </si>
  <si>
    <t>House Rent</t>
  </si>
  <si>
    <t>Expense</t>
  </si>
  <si>
    <t>2026-05-03</t>
  </si>
  <si>
    <t>EMI</t>
  </si>
  <si>
    <t>Bike EMI</t>
  </si>
  <si>
    <t>2026-05-04</t>
  </si>
  <si>
    <t>Electricity</t>
  </si>
  <si>
    <t>Electricity Bill</t>
  </si>
  <si>
    <t>2026-05-05</t>
  </si>
  <si>
    <t>SIP</t>
  </si>
  <si>
    <t>Mutual Fund SIP</t>
  </si>
  <si>
    <t>Investment</t>
  </si>
  <si>
    <t>2026-06-02</t>
  </si>
  <si>
    <t>UPI Expenditure</t>
  </si>
  <si>
    <t>GPay Grocery</t>
  </si>
  <si>
    <t>UPI</t>
  </si>
  <si>
    <t>Google Pay</t>
  </si>
  <si>
    <t>Daily groceries</t>
  </si>
  <si>
    <t>2026-06-03</t>
  </si>
  <si>
    <t>Medicine Purchase</t>
  </si>
  <si>
    <t>Medical Store</t>
  </si>
  <si>
    <t>Card</t>
  </si>
  <si>
    <t>Apollo</t>
  </si>
  <si>
    <t>Cold medicine</t>
  </si>
  <si>
    <t>2026-06-05</t>
  </si>
  <si>
    <t>Ecommerce Purchase</t>
  </si>
  <si>
    <t>Amazon order</t>
  </si>
  <si>
    <t>Amazon</t>
  </si>
  <si>
    <t>Headphones</t>
  </si>
  <si>
    <t>2026-06-06</t>
  </si>
  <si>
    <t>Kitchen/Eatery Purchase</t>
  </si>
  <si>
    <t>Vegetables</t>
  </si>
  <si>
    <t>Cash</t>
  </si>
  <si>
    <t>Local Market</t>
  </si>
  <si>
    <t>Weekly vegetables</t>
  </si>
  <si>
    <t>Savings</t>
  </si>
  <si>
    <t>Overspending Alert</t>
  </si>
  <si>
    <t>May-2026</t>
  </si>
  <si>
    <t>Jun-2026</t>
  </si>
  <si>
    <t>Jul-2026</t>
  </si>
  <si>
    <t>Aug-2026</t>
  </si>
  <si>
    <t>Personal Finance Dashboard</t>
  </si>
  <si>
    <t>Total Income</t>
  </si>
  <si>
    <t>Total Expense</t>
  </si>
  <si>
    <t>Total Investment</t>
  </si>
  <si>
    <t>Net Savings</t>
  </si>
  <si>
    <t>Total</t>
  </si>
  <si>
    <t>Food</t>
  </si>
  <si>
    <t>Medicine</t>
  </si>
  <si>
    <t>Ecommerce</t>
  </si>
  <si>
    <t>Kitchen/Eatery</t>
  </si>
  <si>
    <t>Sep-2026</t>
  </si>
  <si>
    <t>Oct-2026</t>
  </si>
  <si>
    <t>Nov-2026</t>
  </si>
  <si>
    <t>Dec-2026</t>
  </si>
  <si>
    <t>Year</t>
  </si>
  <si>
    <t>Total Savings</t>
  </si>
  <si>
    <t>Net Worth</t>
  </si>
  <si>
    <t>Financial 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</si>
</sst>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8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Financial Overview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Summary'!$B$1</c:f>
              <c:strCache>
                <c:ptCount val="1"/>
                <c:pt idx="0">
                  <c:v>Income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'Monthly Summary'!$A$2:$A$5</c:f>
              <c:strCache>
                <c:ptCount val="4"/>
                <c:pt idx="0">
                  <c:v>May-2026</c:v>
                </c:pt>
                <c:pt idx="1">
                  <c:v>Jun-2026</c:v>
                </c:pt>
                <c:pt idx="2">
                  <c:v>Jul-2026</c:v>
                </c:pt>
                <c:pt idx="3">
                  <c:v>Aug-2026</c:v>
                </c:pt>
              </c:strCache>
            </c:strRef>
          </c:cat>
          <c:val>
            <c:numRef>
              <c:f>'Monthly Summary'!$B$2:$B$5</c:f>
              <c:numCache>
                <c:formatCode>General</c:formatCode>
                <c:ptCount val="4"/>
                <c:pt idx="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'Monthly Summary'!$C$1</c:f>
              <c:strCache>
                <c:ptCount val="1"/>
                <c:pt idx="0">
                  <c:v>Expense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'Monthly Summary'!$A$2:$A$5</c:f>
              <c:strCache>
                <c:ptCount val="4"/>
                <c:pt idx="0">
                  <c:v>May-2026</c:v>
                </c:pt>
                <c:pt idx="1">
                  <c:v>Jun-2026</c:v>
                </c:pt>
                <c:pt idx="2">
                  <c:v>Jul-2026</c:v>
                </c:pt>
                <c:pt idx="3">
                  <c:v>Aug-2026</c:v>
                </c:pt>
              </c:strCache>
            </c:strRef>
          </c:cat>
          <c:val>
            <c:numRef>
              <c:f>'Monthly Summary'!$C$2:$C$5</c:f>
              <c:numCache>
                <c:formatCode>General</c:formatCode>
                <c:ptCount val="4"/>
                <c:pt idx="0">
                  <c:v>18500</c:v>
                </c:pt>
                <c:pt idx="1">
                  <c:v>5200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'Monthly Summary'!$D$1</c:f>
              <c:strCache>
                <c:ptCount val="1"/>
                <c:pt idx="0">
                  <c:v>Investment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'Monthly Summary'!$A$2:$A$5</c:f>
              <c:strCache>
                <c:ptCount val="4"/>
                <c:pt idx="0">
                  <c:v>May-2026</c:v>
                </c:pt>
                <c:pt idx="1">
                  <c:v>Jun-2026</c:v>
                </c:pt>
                <c:pt idx="2">
                  <c:v>Jul-2026</c:v>
                </c:pt>
                <c:pt idx="3">
                  <c:v>Aug-2026</c:v>
                </c:pt>
              </c:strCache>
            </c:strRef>
          </c:cat>
          <c:val>
            <c:numRef>
              <c:f>'Monthly Summary'!$D$2:$D$5</c:f>
              <c:numCache>
                <c:formatCode>General</c:formatCode>
                <c:ptCount val="4"/>
                <c:pt idx="0">
                  <c:v>8000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837640-8588-4286-83ea-5d2017bc434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Expense Distribution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'Expense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'Expense Analysis'!$A$2:$A$5</c:f>
              <c:strCache>
                <c:ptCount val="4"/>
                <c:pt idx="0">
                  <c:v>Rent</c:v>
                </c:pt>
                <c:pt idx="1">
                  <c:v>EMI</c:v>
                </c:pt>
                <c:pt idx="2">
                  <c:v>Electricity</c:v>
                </c:pt>
                <c:pt idx="3">
                  <c:v>Food</c:v>
                </c:pt>
              </c:strCache>
            </c:strRef>
          </c:cat>
          <c:val>
            <c:numRef>
              <c:f>'Expense Analysis'!$B$2:$B$5</c:f>
              <c:numCache>
                <c:formatCode>General</c:formatCode>
                <c:ptCount val="4"/>
                <c:pt idx="0">
                  <c:v>12000</c:v>
                </c:pt>
                <c:pt idx="1">
                  <c:v>5000</c:v>
                </c:pt>
                <c:pt idx="2">
                  <c:v>1500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7f4416-5a9d-4744-8064-bb4ee65df8f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Month-wise Expense Tracking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'Monthwise Analysis'!$B$1</c:f>
              <c:strCache>
                <c:ptCount val="1"/>
                <c:pt idx="0">
                  <c:v>Total Expense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'Monthwise Analysis'!$A$2:$A$9</c:f>
              <c:strCache>
                <c:ptCount val="8"/>
                <c:pt idx="0">
                  <c:v>May-2026</c:v>
                </c:pt>
                <c:pt idx="1">
                  <c:v>Jun-2026</c:v>
                </c:pt>
                <c:pt idx="2">
                  <c:v>Jul-2026</c:v>
                </c:pt>
                <c:pt idx="3">
                  <c:v>Aug-2026</c:v>
                </c:pt>
                <c:pt idx="4">
                  <c:v>Sep-2026</c:v>
                </c:pt>
                <c:pt idx="5">
                  <c:v>Oct-2026</c:v>
                </c:pt>
                <c:pt idx="6">
                  <c:v>Nov-2026</c:v>
                </c:pt>
                <c:pt idx="7">
                  <c:v>Dec-2026</c:v>
                </c:pt>
              </c:strCache>
            </c:strRef>
          </c:cat>
          <c:val>
            <c:numRef>
              <c:f>'Monthwise Analysis'!$B$2:$B$9</c:f>
              <c:numCache>
                <c:formatCode>General</c:formatCode>
                <c:ptCount val="8"/>
                <c:pt idx="0">
                  <c:v>18500</c:v>
                </c:pt>
                <c:pt idx="1">
                  <c:v>5200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85af06-f948-4836-860c-f80b24f4e2a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Yearly Financial Overview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Analysis'!$B$1</c:f>
              <c:strCache>
                <c:ptCount val="1"/>
                <c:pt idx="0">
                  <c:v>Total Income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f>'Yearly Analysis'!$A$2:$A$6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'Yearly Analysis'!$B$2:$B$6</c:f>
              <c:numCache>
                <c:formatCode>General</c:formatCode>
                <c:ptCount val="5"/>
                <c:pt idx="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'Yearly Analysis'!$C$1</c:f>
              <c:strCache>
                <c:ptCount val="1"/>
                <c:pt idx="0">
                  <c:v>Total Expense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f>'Yearly Analysis'!$A$2:$A$6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'Yearly Analysis'!$C$2:$C$6</c:f>
              <c:numCache>
                <c:formatCode>General</c:formatCode>
                <c:ptCount val="5"/>
                <c:pt idx="0">
                  <c:v>23700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'Yearly Analysis'!$D$1</c:f>
              <c:strCache>
                <c:ptCount val="1"/>
                <c:pt idx="0">
                  <c:v>Total Investment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f>'Yearly Analysis'!$A$2:$A$6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'Yearly Analysis'!$D$2:$D$6</c:f>
              <c:numCache>
                <c:formatCode>General</c:formatCode>
                <c:ptCount val="5"/>
                <c:pt idx="0">
                  <c:v>8000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'Yearly Analysis'!$E$1</c:f>
              <c:strCache>
                <c:ptCount val="1"/>
                <c:pt idx="0">
                  <c:v>Total Savings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f>'Yearly Analysis'!$A$2:$A$6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'Yearly Analysis'!$E$2:$E$6</c:f>
              <c:numCache>
                <c:formatCode>General</c:formatCode>
                <c:ptCount val="5"/>
                <c:pt idx="0">
                  <c:v>18300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7ba12b-51d0-4526-9dc5-bd234ddb94d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5760000" cy="3222900"/>
    <xdr:graphicFrame>
      <xdr:nvGraphicFramePr>
        <xdr:cNvPr id="2" name="Chart 1"/>
        <xdr:cNvGraphicFramePr/>
      </xdr:nvGraphicFramePr>
      <xdr:xfrm>
        <a:off x="2194560" y="330200"/>
        <a:ext cx="5759450" cy="322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400000" cy="3020040"/>
    <xdr:graphicFrame>
      <xdr:nvGraphicFramePr>
        <xdr:cNvPr id="3" name="Chart 2"/>
        <xdr:cNvGraphicFramePr/>
      </xdr:nvGraphicFramePr>
      <xdr:xfrm>
        <a:off x="2194560" y="4170680"/>
        <a:ext cx="5399405" cy="301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37</xdr:row>
      <xdr:rowOff>0</xdr:rowOff>
    </xdr:from>
    <xdr:ext cx="6480000" cy="3222900"/>
    <xdr:graphicFrame>
      <xdr:nvGraphicFramePr>
        <xdr:cNvPr id="4" name="Chart 3"/>
        <xdr:cNvGraphicFramePr/>
      </xdr:nvGraphicFramePr>
      <xdr:xfrm>
        <a:off x="2194560" y="8011160"/>
        <a:ext cx="6479540" cy="322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1</xdr:row>
      <xdr:rowOff>0</xdr:rowOff>
    </xdr:from>
    <xdr:ext cx="6480000" cy="4011480"/>
    <xdr:graphicFrame>
      <xdr:nvGraphicFramePr>
        <xdr:cNvPr id="2" name="Chart 1"/>
        <xdr:cNvGraphicFramePr/>
      </xdr:nvGraphicFramePr>
      <xdr:xfrm>
        <a:off x="14386560" y="213360"/>
        <a:ext cx="6479540" cy="4011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pane ySplit="1" topLeftCell="A182" activePane="bottomLeft" state="frozen"/>
      <selection/>
      <selection pane="bottomLeft" activeCell="C195" sqref="C195"/>
    </sheetView>
  </sheetViews>
  <sheetFormatPr defaultColWidth="9" defaultRowHeight="16.8"/>
  <cols>
    <col min="1" max="1" width="15" customWidth="1"/>
    <col min="2" max="2" width="20" customWidth="1"/>
    <col min="3" max="3" width="35" customWidth="1"/>
    <col min="4" max="4" width="15" customWidth="1"/>
    <col min="5" max="6" width="18" customWidth="1"/>
    <col min="7" max="9" width="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50000</v>
      </c>
      <c r="E2" t="s">
        <v>12</v>
      </c>
      <c r="F2" t="str">
        <f>TEXT(A2,"MMM-YYYY")</f>
        <v>May-2026</v>
      </c>
    </row>
    <row r="3" spans="1:9">
      <c r="A3" t="s">
        <v>13</v>
      </c>
      <c r="B3" t="s">
        <v>14</v>
      </c>
      <c r="C3" t="s">
        <v>15</v>
      </c>
      <c r="D3">
        <v>12000</v>
      </c>
      <c r="E3" t="s">
        <v>16</v>
      </c>
      <c r="F3" t="str">
        <f>TEXT(A3,"MMM-YYYY")</f>
        <v>May-2026</v>
      </c>
    </row>
    <row r="4" spans="1:9">
      <c r="A4" t="s">
        <v>17</v>
      </c>
      <c r="B4" t="s">
        <v>18</v>
      </c>
      <c r="C4" t="s">
        <v>19</v>
      </c>
      <c r="D4">
        <v>5000</v>
      </c>
      <c r="E4" t="s">
        <v>16</v>
      </c>
      <c r="F4" t="str">
        <f>TEXT(A4,"MMM-YYYY")</f>
        <v>May-2026</v>
      </c>
    </row>
    <row r="5" spans="1:9">
      <c r="A5" t="s">
        <v>20</v>
      </c>
      <c r="B5" t="s">
        <v>21</v>
      </c>
      <c r="C5" t="s">
        <v>22</v>
      </c>
      <c r="D5">
        <v>1500</v>
      </c>
      <c r="E5" t="s">
        <v>16</v>
      </c>
      <c r="F5" t="str">
        <f>TEXT(A5,"MMM-YYYY")</f>
        <v>May-2026</v>
      </c>
    </row>
    <row r="6" spans="1:9">
      <c r="A6" t="s">
        <v>23</v>
      </c>
      <c r="B6" t="s">
        <v>24</v>
      </c>
      <c r="C6" t="s">
        <v>25</v>
      </c>
      <c r="D6">
        <v>8000</v>
      </c>
      <c r="E6" t="s">
        <v>26</v>
      </c>
      <c r="F6" t="str">
        <f>TEXT(A6,"MMM-YYYY")</f>
        <v>May-2026</v>
      </c>
    </row>
    <row r="7" spans="1:9">
      <c r="F7" t="str">
        <f>TEXT(A7,"MMM-YYYY")</f>
        <v>Jan-1900</v>
      </c>
    </row>
    <row r="8" spans="1:9">
      <c r="F8" t="str">
        <f>TEXT(A8,"MMM-YYYY")</f>
        <v>Jan-1900</v>
      </c>
    </row>
    <row r="9" spans="1:9">
      <c r="F9" t="str">
        <f>TEXT(A9,"MMM-YYYY")</f>
        <v>Jan-1900</v>
      </c>
    </row>
    <row r="10" spans="1:9">
      <c r="A10" t="s">
        <v>27</v>
      </c>
      <c r="B10" t="s">
        <v>28</v>
      </c>
      <c r="C10" t="s">
        <v>29</v>
      </c>
      <c r="D10">
        <v>1200</v>
      </c>
      <c r="E10" t="s">
        <v>16</v>
      </c>
      <c r="F10" t="str">
        <f>TEXT(A10,"MMM-YYYY")</f>
        <v>Jun-2026</v>
      </c>
      <c r="G10" t="s">
        <v>30</v>
      </c>
      <c r="H10" t="s">
        <v>31</v>
      </c>
      <c r="I10" t="s">
        <v>32</v>
      </c>
    </row>
    <row r="11" spans="1:9">
      <c r="A11" t="s">
        <v>33</v>
      </c>
      <c r="B11" t="s">
        <v>34</v>
      </c>
      <c r="C11" t="s">
        <v>35</v>
      </c>
      <c r="D11">
        <v>800</v>
      </c>
      <c r="E11" t="s">
        <v>16</v>
      </c>
      <c r="F11" t="str">
        <f>TEXT(A11,"MMM-YYYY")</f>
        <v>Jun-2026</v>
      </c>
      <c r="G11" t="s">
        <v>36</v>
      </c>
      <c r="H11" t="s">
        <v>37</v>
      </c>
      <c r="I11" t="s">
        <v>38</v>
      </c>
    </row>
    <row r="12" spans="1:9">
      <c r="A12" t="s">
        <v>39</v>
      </c>
      <c r="B12" t="s">
        <v>40</v>
      </c>
      <c r="C12" t="s">
        <v>41</v>
      </c>
      <c r="D12">
        <v>2500</v>
      </c>
      <c r="E12" t="s">
        <v>16</v>
      </c>
      <c r="F12" t="str">
        <f>TEXT(A12,"MMM-YYYY")</f>
        <v>Jun-2026</v>
      </c>
      <c r="G12" t="s">
        <v>30</v>
      </c>
      <c r="H12" t="s">
        <v>42</v>
      </c>
      <c r="I12" t="s">
        <v>43</v>
      </c>
    </row>
    <row r="13" spans="1:9">
      <c r="A13" t="s">
        <v>44</v>
      </c>
      <c r="B13" t="s">
        <v>45</v>
      </c>
      <c r="C13" t="s">
        <v>46</v>
      </c>
      <c r="D13">
        <v>700</v>
      </c>
      <c r="E13" t="s">
        <v>16</v>
      </c>
      <c r="F13" t="str">
        <f>TEXT(A13,"MMM-YYYY")</f>
        <v>Jun-2026</v>
      </c>
      <c r="G13" t="s">
        <v>47</v>
      </c>
      <c r="H13" t="s">
        <v>48</v>
      </c>
      <c r="I13" t="s">
        <v>49</v>
      </c>
    </row>
  </sheetData>
  <dataValidations count="3">
    <dataValidation type="list" sqref="B2:B500">
      <formula1>"Salary,Rent,EMI,Electricity,Food,Travel,Shopping,Misc,SIP,Stocks,Mutual Fund,Crypto,FD,PPF"</formula1>
    </dataValidation>
    <dataValidation type="list" sqref="B501:B1000">
      <formula1>"Salary,Rent,EMI,Electricity,UPI Expenditure,Medicine Purchase,Food Purchase,Ecommerce Purchase,Kitchen/Eatery Purchase,Travel,Shopping,Misc,SIP,Stocks,Mutual Fund,Crypto,FD,PPF"</formula1>
    </dataValidation>
    <dataValidation type="list" sqref="E2:E500">
      <formula1>"Income,Expense,Investment"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 outlineLevelCol="5"/>
  <cols>
    <col min="1" max="1" width="18" customWidth="1"/>
    <col min="2" max="5" width="15" customWidth="1"/>
    <col min="6" max="6" width="25" customWidth="1"/>
  </cols>
  <sheetData>
    <row r="1" spans="1:6">
      <c r="A1" s="1" t="s">
        <v>5</v>
      </c>
      <c r="B1" s="1" t="s">
        <v>12</v>
      </c>
      <c r="C1" s="1" t="s">
        <v>16</v>
      </c>
      <c r="D1" s="1" t="s">
        <v>26</v>
      </c>
      <c r="E1" s="1" t="s">
        <v>50</v>
      </c>
      <c r="F1" s="1" t="s">
        <v>51</v>
      </c>
    </row>
    <row r="2" spans="1:6">
      <c r="A2" t="s">
        <v>52</v>
      </c>
      <c r="B2">
        <f>SUMIFS(Transactions!D:D,Transactions!F:F,A2,Transactions!E:E,"Income")</f>
        <v>50000</v>
      </c>
      <c r="C2">
        <f>SUMIFS(Transactions!D:D,Transactions!F:F,A2,Transactions!E:E,"Expense")</f>
        <v>18500</v>
      </c>
      <c r="D2">
        <f>SUMIFS(Transactions!D:D,Transactions!F:F,A2,Transactions!E:E,"Investment")</f>
        <v>8000</v>
      </c>
      <c r="E2">
        <f>B2-C2-D2</f>
        <v>23500</v>
      </c>
      <c r="F2" t="str">
        <f>IF(C2&gt;B2*0.7,"⚠ High Spending","✅ Safe")</f>
        <v>✅ Safe</v>
      </c>
    </row>
    <row r="3" spans="1:6">
      <c r="A3" t="s">
        <v>53</v>
      </c>
      <c r="B3">
        <f>SUMIFS(Transactions!D:D,Transactions!F:F,A3,Transactions!E:E,"Income")</f>
        <v>0</v>
      </c>
      <c r="C3">
        <f>SUMIFS(Transactions!D:D,Transactions!F:F,A3,Transactions!E:E,"Expense")</f>
        <v>5200</v>
      </c>
      <c r="D3">
        <f>SUMIFS(Transactions!D:D,Transactions!F:F,A3,Transactions!E:E,"Investment")</f>
        <v>0</v>
      </c>
      <c r="E3">
        <f>B3-C3-D3</f>
        <v>-5200</v>
      </c>
      <c r="F3" t="str">
        <f>IF(C3&gt;B3*0.7,"⚠ High Spending","✅ Safe")</f>
        <v>⚠ High Spending</v>
      </c>
    </row>
    <row r="4" spans="1:6">
      <c r="A4" t="s">
        <v>54</v>
      </c>
      <c r="B4">
        <f>SUMIFS(Transactions!D:D,Transactions!F:F,A4,Transactions!E:E,"Income")</f>
        <v>0</v>
      </c>
      <c r="C4">
        <f>SUMIFS(Transactions!D:D,Transactions!F:F,A4,Transactions!E:E,"Expense")</f>
        <v>0</v>
      </c>
      <c r="D4">
        <f>SUMIFS(Transactions!D:D,Transactions!F:F,A4,Transactions!E:E,"Investment")</f>
        <v>0</v>
      </c>
      <c r="E4">
        <f>B4-C4-D4</f>
        <v>0</v>
      </c>
      <c r="F4" t="str">
        <f>IF(C4&gt;B4*0.7,"⚠ High Spending","✅ Safe")</f>
        <v>✅ Safe</v>
      </c>
    </row>
    <row r="5" spans="1:6">
      <c r="A5" t="s">
        <v>55</v>
      </c>
      <c r="B5">
        <f>SUMIFS(Transactions!D:D,Transactions!F:F,A5,Transactions!E:E,"Income")</f>
        <v>0</v>
      </c>
      <c r="C5">
        <f>SUMIFS(Transactions!D:D,Transactions!F:F,A5,Transactions!E:E,"Expense")</f>
        <v>0</v>
      </c>
      <c r="D5">
        <f>SUMIFS(Transactions!D:D,Transactions!F:F,A5,Transactions!E:E,"Investment")</f>
        <v>0</v>
      </c>
      <c r="E5">
        <f>B5-C5-D5</f>
        <v>0</v>
      </c>
      <c r="F5" t="str">
        <f>IF(C5&gt;B5*0.7,"⚠ High Spending","✅ Safe")</f>
        <v>✅ Safe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6.8" outlineLevelCol="1"/>
  <sheetData>
    <row r="1" ht="26" spans="1:2">
      <c r="A1" s="2" t="s">
        <v>56</v>
      </c>
    </row>
    <row r="3" spans="1:2">
      <c r="A3" s="3" t="s">
        <v>57</v>
      </c>
      <c r="B3">
        <f>SUM('Monthly Summary'!B:B)</f>
        <v>50000</v>
      </c>
    </row>
    <row r="5" spans="1:2">
      <c r="A5" s="3" t="s">
        <v>58</v>
      </c>
      <c r="B5">
        <f>SUM('Monthly Summary'!C:C)</f>
        <v>23700</v>
      </c>
    </row>
    <row r="7" spans="1:2">
      <c r="A7" s="3" t="s">
        <v>59</v>
      </c>
      <c r="B7">
        <f>SUM('Monthly Summary'!D:D)</f>
        <v>8000</v>
      </c>
    </row>
    <row r="9" spans="1:2">
      <c r="A9" s="3" t="s">
        <v>60</v>
      </c>
      <c r="B9">
        <f>SUM('Monthly Summary'!E:E)</f>
        <v>18300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6.8" outlineLevelRow="4" outlineLevelCol="1"/>
  <sheetData>
    <row r="1" spans="1:2">
      <c r="A1" t="s">
        <v>1</v>
      </c>
      <c r="B1" t="s">
        <v>61</v>
      </c>
    </row>
    <row r="2" spans="1:2">
      <c r="A2" t="s">
        <v>14</v>
      </c>
      <c r="B2">
        <f>SUMIFS(Transactions!D:D,Transactions!B:B,"Rent")</f>
        <v>12000</v>
      </c>
    </row>
    <row r="3" spans="1:2">
      <c r="A3" t="s">
        <v>18</v>
      </c>
      <c r="B3">
        <f>SUMIFS(Transactions!D:D,Transactions!B:B,"EMI")</f>
        <v>5000</v>
      </c>
    </row>
    <row r="4" spans="1:2">
      <c r="A4" t="s">
        <v>21</v>
      </c>
      <c r="B4">
        <f>SUMIFS(Transactions!D:D,Transactions!B:B,"Electricity")</f>
        <v>1500</v>
      </c>
    </row>
    <row r="5" spans="1:2">
      <c r="A5" t="s">
        <v>62</v>
      </c>
      <c r="B5">
        <f>SUMIFS(Transactions!D:D,Transactions!B:B,"Food")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1" sqref="A1"/>
    </sheetView>
  </sheetViews>
  <sheetFormatPr defaultColWidth="9" defaultRowHeight="16.8"/>
  <cols>
    <col min="1" max="9" width="22" customWidth="1"/>
  </cols>
  <sheetData>
    <row r="1" spans="1:9">
      <c r="A1" s="1" t="s">
        <v>5</v>
      </c>
      <c r="B1" s="1" t="s">
        <v>58</v>
      </c>
      <c r="C1" s="1" t="s">
        <v>30</v>
      </c>
      <c r="D1" s="1" t="s">
        <v>63</v>
      </c>
      <c r="E1" s="1" t="s">
        <v>62</v>
      </c>
      <c r="F1" s="1" t="s">
        <v>64</v>
      </c>
      <c r="G1" s="1" t="s">
        <v>65</v>
      </c>
      <c r="H1" s="1" t="s">
        <v>26</v>
      </c>
      <c r="I1" s="1" t="s">
        <v>50</v>
      </c>
    </row>
    <row r="2" spans="1:9">
      <c r="A2" t="s">
        <v>52</v>
      </c>
      <c r="B2">
        <f>SUMIFS(Transactions!D:D,Transactions!F:F,A2,Transactions!E:E,"Expense")</f>
        <v>18500</v>
      </c>
      <c r="C2">
        <f>SUMIFS(Transactions!D:D,Transactions!F:F,A2,Transactions!B:B,"UPI Expenditure")</f>
        <v>0</v>
      </c>
      <c r="D2">
        <f>SUMIFS(Transactions!D:D,Transactions!F:F,A2,Transactions!B:B,"Medicine Purchase")</f>
        <v>0</v>
      </c>
      <c r="E2">
        <f>SUMIFS(Transactions!D:D,Transactions!F:F,A2,Transactions!B:B,"Food Purchase")</f>
        <v>0</v>
      </c>
      <c r="F2">
        <f>SUMIFS(Transactions!D:D,Transactions!F:F,A2,Transactions!B:B,"Ecommerce Purchase")</f>
        <v>0</v>
      </c>
      <c r="G2">
        <f>SUMIFS(Transactions!D:D,Transactions!F:F,A2,Transactions!B:B,"Kitchen/Eatery Purchase")</f>
        <v>0</v>
      </c>
      <c r="H2">
        <f>SUMIFS(Transactions!D:D,Transactions!F:F,A2,Transactions!E:E,"Investment")</f>
        <v>8000</v>
      </c>
      <c r="I2">
        <f>SUMIFS(Transactions!D:D,Transactions!F:F,A2,Transactions!E:E,"Income")-B2-H2</f>
        <v>23500</v>
      </c>
    </row>
    <row r="3" spans="1:9">
      <c r="A3" t="s">
        <v>53</v>
      </c>
      <c r="B3">
        <f>SUMIFS(Transactions!D:D,Transactions!F:F,A3,Transactions!E:E,"Expense")</f>
        <v>5200</v>
      </c>
      <c r="C3">
        <f>SUMIFS(Transactions!D:D,Transactions!F:F,A3,Transactions!B:B,"UPI Expenditure")</f>
        <v>1200</v>
      </c>
      <c r="D3">
        <f>SUMIFS(Transactions!D:D,Transactions!F:F,A3,Transactions!B:B,"Medicine Purchase")</f>
        <v>800</v>
      </c>
      <c r="E3">
        <f>SUMIFS(Transactions!D:D,Transactions!F:F,A3,Transactions!B:B,"Food Purchase")</f>
        <v>0</v>
      </c>
      <c r="F3">
        <f>SUMIFS(Transactions!D:D,Transactions!F:F,A3,Transactions!B:B,"Ecommerce Purchase")</f>
        <v>2500</v>
      </c>
      <c r="G3">
        <f>SUMIFS(Transactions!D:D,Transactions!F:F,A3,Transactions!B:B,"Kitchen/Eatery Purchase")</f>
        <v>700</v>
      </c>
      <c r="H3">
        <f>SUMIFS(Transactions!D:D,Transactions!F:F,A3,Transactions!E:E,"Investment")</f>
        <v>0</v>
      </c>
      <c r="I3">
        <f>SUMIFS(Transactions!D:D,Transactions!F:F,A3,Transactions!E:E,"Income")-B3-H3</f>
        <v>-5200</v>
      </c>
    </row>
    <row r="4" spans="1:9">
      <c r="A4" t="s">
        <v>54</v>
      </c>
      <c r="B4">
        <f>SUMIFS(Transactions!D:D,Transactions!F:F,A4,Transactions!E:E,"Expense")</f>
        <v>0</v>
      </c>
      <c r="C4">
        <f>SUMIFS(Transactions!D:D,Transactions!F:F,A4,Transactions!B:B,"UPI Expenditure")</f>
        <v>0</v>
      </c>
      <c r="D4">
        <f>SUMIFS(Transactions!D:D,Transactions!F:F,A4,Transactions!B:B,"Medicine Purchase")</f>
        <v>0</v>
      </c>
      <c r="E4">
        <f>SUMIFS(Transactions!D:D,Transactions!F:F,A4,Transactions!B:B,"Food Purchase")</f>
        <v>0</v>
      </c>
      <c r="F4">
        <f>SUMIFS(Transactions!D:D,Transactions!F:F,A4,Transactions!B:B,"Ecommerce Purchase")</f>
        <v>0</v>
      </c>
      <c r="G4">
        <f>SUMIFS(Transactions!D:D,Transactions!F:F,A4,Transactions!B:B,"Kitchen/Eatery Purchase")</f>
        <v>0</v>
      </c>
      <c r="H4">
        <f>SUMIFS(Transactions!D:D,Transactions!F:F,A4,Transactions!E:E,"Investment")</f>
        <v>0</v>
      </c>
      <c r="I4">
        <f>SUMIFS(Transactions!D:D,Transactions!F:F,A4,Transactions!E:E,"Income")-B4-H4</f>
        <v>0</v>
      </c>
    </row>
    <row r="5" spans="1:9">
      <c r="A5" t="s">
        <v>55</v>
      </c>
      <c r="B5">
        <f>SUMIFS(Transactions!D:D,Transactions!F:F,A5,Transactions!E:E,"Expense")</f>
        <v>0</v>
      </c>
      <c r="C5">
        <f>SUMIFS(Transactions!D:D,Transactions!F:F,A5,Transactions!B:B,"UPI Expenditure")</f>
        <v>0</v>
      </c>
      <c r="D5">
        <f>SUMIFS(Transactions!D:D,Transactions!F:F,A5,Transactions!B:B,"Medicine Purchase")</f>
        <v>0</v>
      </c>
      <c r="E5">
        <f>SUMIFS(Transactions!D:D,Transactions!F:F,A5,Transactions!B:B,"Food Purchase")</f>
        <v>0</v>
      </c>
      <c r="F5">
        <f>SUMIFS(Transactions!D:D,Transactions!F:F,A5,Transactions!B:B,"Ecommerce Purchase")</f>
        <v>0</v>
      </c>
      <c r="G5">
        <f>SUMIFS(Transactions!D:D,Transactions!F:F,A5,Transactions!B:B,"Kitchen/Eatery Purchase")</f>
        <v>0</v>
      </c>
      <c r="H5">
        <f>SUMIFS(Transactions!D:D,Transactions!F:F,A5,Transactions!E:E,"Investment")</f>
        <v>0</v>
      </c>
      <c r="I5">
        <f>SUMIFS(Transactions!D:D,Transactions!F:F,A5,Transactions!E:E,"Income")-B5-H5</f>
        <v>0</v>
      </c>
    </row>
    <row r="6" spans="1:9">
      <c r="A6" t="s">
        <v>66</v>
      </c>
      <c r="B6">
        <f>SUMIFS(Transactions!D:D,Transactions!F:F,A6,Transactions!E:E,"Expense")</f>
        <v>0</v>
      </c>
      <c r="C6">
        <f>SUMIFS(Transactions!D:D,Transactions!F:F,A6,Transactions!B:B,"UPI Expenditure")</f>
        <v>0</v>
      </c>
      <c r="D6">
        <f>SUMIFS(Transactions!D:D,Transactions!F:F,A6,Transactions!B:B,"Medicine Purchase")</f>
        <v>0</v>
      </c>
      <c r="E6">
        <f>SUMIFS(Transactions!D:D,Transactions!F:F,A6,Transactions!B:B,"Food Purchase")</f>
        <v>0</v>
      </c>
      <c r="F6">
        <f>SUMIFS(Transactions!D:D,Transactions!F:F,A6,Transactions!B:B,"Ecommerce Purchase")</f>
        <v>0</v>
      </c>
      <c r="G6">
        <f>SUMIFS(Transactions!D:D,Transactions!F:F,A6,Transactions!B:B,"Kitchen/Eatery Purchase")</f>
        <v>0</v>
      </c>
      <c r="H6">
        <f>SUMIFS(Transactions!D:D,Transactions!F:F,A6,Transactions!E:E,"Investment")</f>
        <v>0</v>
      </c>
      <c r="I6">
        <f>SUMIFS(Transactions!D:D,Transactions!F:F,A6,Transactions!E:E,"Income")-B6-H6</f>
        <v>0</v>
      </c>
    </row>
    <row r="7" spans="1:9">
      <c r="A7" t="s">
        <v>67</v>
      </c>
      <c r="B7">
        <f>SUMIFS(Transactions!D:D,Transactions!F:F,A7,Transactions!E:E,"Expense")</f>
        <v>0</v>
      </c>
      <c r="C7">
        <f>SUMIFS(Transactions!D:D,Transactions!F:F,A7,Transactions!B:B,"UPI Expenditure")</f>
        <v>0</v>
      </c>
      <c r="D7">
        <f>SUMIFS(Transactions!D:D,Transactions!F:F,A7,Transactions!B:B,"Medicine Purchase")</f>
        <v>0</v>
      </c>
      <c r="E7">
        <f>SUMIFS(Transactions!D:D,Transactions!F:F,A7,Transactions!B:B,"Food Purchase")</f>
        <v>0</v>
      </c>
      <c r="F7">
        <f>SUMIFS(Transactions!D:D,Transactions!F:F,A7,Transactions!B:B,"Ecommerce Purchase")</f>
        <v>0</v>
      </c>
      <c r="G7">
        <f>SUMIFS(Transactions!D:D,Transactions!F:F,A7,Transactions!B:B,"Kitchen/Eatery Purchase")</f>
        <v>0</v>
      </c>
      <c r="H7">
        <f>SUMIFS(Transactions!D:D,Transactions!F:F,A7,Transactions!E:E,"Investment")</f>
        <v>0</v>
      </c>
      <c r="I7">
        <f>SUMIFS(Transactions!D:D,Transactions!F:F,A7,Transactions!E:E,"Income")-B7-H7</f>
        <v>0</v>
      </c>
    </row>
    <row r="8" spans="1:9">
      <c r="A8" t="s">
        <v>68</v>
      </c>
      <c r="B8">
        <f>SUMIFS(Transactions!D:D,Transactions!F:F,A8,Transactions!E:E,"Expense")</f>
        <v>0</v>
      </c>
      <c r="C8">
        <f>SUMIFS(Transactions!D:D,Transactions!F:F,A8,Transactions!B:B,"UPI Expenditure")</f>
        <v>0</v>
      </c>
      <c r="D8">
        <f>SUMIFS(Transactions!D:D,Transactions!F:F,A8,Transactions!B:B,"Medicine Purchase")</f>
        <v>0</v>
      </c>
      <c r="E8">
        <f>SUMIFS(Transactions!D:D,Transactions!F:F,A8,Transactions!B:B,"Food Purchase")</f>
        <v>0</v>
      </c>
      <c r="F8">
        <f>SUMIFS(Transactions!D:D,Transactions!F:F,A8,Transactions!B:B,"Ecommerce Purchase")</f>
        <v>0</v>
      </c>
      <c r="G8">
        <f>SUMIFS(Transactions!D:D,Transactions!F:F,A8,Transactions!B:B,"Kitchen/Eatery Purchase")</f>
        <v>0</v>
      </c>
      <c r="H8">
        <f>SUMIFS(Transactions!D:D,Transactions!F:F,A8,Transactions!E:E,"Investment")</f>
        <v>0</v>
      </c>
      <c r="I8">
        <f>SUMIFS(Transactions!D:D,Transactions!F:F,A8,Transactions!E:E,"Income")-B8-H8</f>
        <v>0</v>
      </c>
    </row>
    <row r="9" spans="1:9">
      <c r="A9" t="s">
        <v>69</v>
      </c>
      <c r="B9">
        <f>SUMIFS(Transactions!D:D,Transactions!F:F,A9,Transactions!E:E,"Expense")</f>
        <v>0</v>
      </c>
      <c r="C9">
        <f>SUMIFS(Transactions!D:D,Transactions!F:F,A9,Transactions!B:B,"UPI Expenditure")</f>
        <v>0</v>
      </c>
      <c r="D9">
        <f>SUMIFS(Transactions!D:D,Transactions!F:F,A9,Transactions!B:B,"Medicine Purchase")</f>
        <v>0</v>
      </c>
      <c r="E9">
        <f>SUMIFS(Transactions!D:D,Transactions!F:F,A9,Transactions!B:B,"Food Purchase")</f>
        <v>0</v>
      </c>
      <c r="F9">
        <f>SUMIFS(Transactions!D:D,Transactions!F:F,A9,Transactions!B:B,"Ecommerce Purchase")</f>
        <v>0</v>
      </c>
      <c r="G9">
        <f>SUMIFS(Transactions!D:D,Transactions!F:F,A9,Transactions!B:B,"Kitchen/Eatery Purchase")</f>
        <v>0</v>
      </c>
      <c r="H9">
        <f>SUMIFS(Transactions!D:D,Transactions!F:F,A9,Transactions!E:E,"Investment")</f>
        <v>0</v>
      </c>
      <c r="I9">
        <f>SUMIFS(Transactions!D:D,Transactions!F:F,A9,Transactions!E:E,"Income")-B9-H9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5" outlineLevelCol="6"/>
  <cols>
    <col min="1" max="7" width="24" customWidth="1"/>
  </cols>
  <sheetData>
    <row r="1" spans="1:7">
      <c r="A1" s="1" t="s">
        <v>70</v>
      </c>
      <c r="B1" s="1" t="s">
        <v>57</v>
      </c>
      <c r="C1" s="1" t="s">
        <v>58</v>
      </c>
      <c r="D1" s="1" t="s">
        <v>59</v>
      </c>
      <c r="E1" s="1" t="s">
        <v>71</v>
      </c>
      <c r="F1" s="1" t="s">
        <v>72</v>
      </c>
      <c r="G1" s="1" t="s">
        <v>73</v>
      </c>
    </row>
    <row r="2" spans="1:7">
      <c r="A2">
        <v>2026</v>
      </c>
      <c r="B2">
        <f>SUMPRODUCT((YEAR(Transactions!A2:A1000)=A2)*(Transactions!E2:E1000="Income")*(Transactions!D2:D1000))</f>
        <v>50000</v>
      </c>
      <c r="C2">
        <f>SUMPRODUCT((YEAR(Transactions!A2:A1000)=A2)*(Transactions!E2:E1000="Expense")*(Transactions!D2:D1000))</f>
        <v>23700</v>
      </c>
      <c r="D2">
        <f>SUMPRODUCT((YEAR(Transactions!A2:A1000)=A2)*(Transactions!E2:E1000="Investment")*(Transactions!D2:D1000))</f>
        <v>8000</v>
      </c>
      <c r="E2">
        <f>B2-C2-D2</f>
        <v>18300</v>
      </c>
      <c r="F2">
        <f>E2+D2</f>
        <v>26300</v>
      </c>
      <c r="G2" t="str">
        <f>IF(E2&gt;0,"✅ Positive Savings","⚠ Low Savings")</f>
        <v>✅ Positive Savings</v>
      </c>
    </row>
    <row r="3" spans="1:7">
      <c r="A3">
        <v>2027</v>
      </c>
      <c r="B3">
        <f>SUMPRODUCT((YEAR(Transactions!A2:A1000)=A3)*(Transactions!E2:E1000="Income")*(Transactions!D2:D1000))</f>
        <v>0</v>
      </c>
      <c r="C3">
        <f>SUMPRODUCT((YEAR(Transactions!A2:A1000)=A3)*(Transactions!E2:E1000="Expense")*(Transactions!D2:D1000))</f>
        <v>0</v>
      </c>
      <c r="D3">
        <f>SUMPRODUCT((YEAR(Transactions!A2:A1000)=A3)*(Transactions!E2:E1000="Investment")*(Transactions!D2:D1000))</f>
        <v>0</v>
      </c>
      <c r="E3">
        <f>B3-C3-D3</f>
        <v>0</v>
      </c>
      <c r="F3">
        <f>E3+D3</f>
        <v>0</v>
      </c>
      <c r="G3" t="str">
        <f>IF(E3&gt;0,"✅ Positive Savings","⚠ Low Savings")</f>
        <v>⚠ Low Savings</v>
      </c>
    </row>
    <row r="4" spans="1:7">
      <c r="A4">
        <v>2028</v>
      </c>
      <c r="B4">
        <f>SUMPRODUCT((YEAR(Transactions!A2:A1000)=A4)*(Transactions!E2:E1000="Income")*(Transactions!D2:D1000))</f>
        <v>0</v>
      </c>
      <c r="C4">
        <f>SUMPRODUCT((YEAR(Transactions!A2:A1000)=A4)*(Transactions!E2:E1000="Expense")*(Transactions!D2:D1000))</f>
        <v>0</v>
      </c>
      <c r="D4">
        <f>SUMPRODUCT((YEAR(Transactions!A2:A1000)=A4)*(Transactions!E2:E1000="Investment")*(Transactions!D2:D1000))</f>
        <v>0</v>
      </c>
      <c r="E4">
        <f>B4-C4-D4</f>
        <v>0</v>
      </c>
      <c r="F4">
        <f>E4+D4</f>
        <v>0</v>
      </c>
      <c r="G4" t="str">
        <f>IF(E4&gt;0,"✅ Positive Savings","⚠ Low Savings")</f>
        <v>⚠ Low Savings</v>
      </c>
    </row>
    <row r="5" spans="1:7">
      <c r="A5">
        <v>2029</v>
      </c>
      <c r="B5">
        <f>SUMPRODUCT((YEAR(Transactions!A2:A1000)=A5)*(Transactions!E2:E1000="Income")*(Transactions!D2:D1000))</f>
        <v>0</v>
      </c>
      <c r="C5">
        <f>SUMPRODUCT((YEAR(Transactions!A2:A1000)=A5)*(Transactions!E2:E1000="Expense")*(Transactions!D2:D1000))</f>
        <v>0</v>
      </c>
      <c r="D5">
        <f>SUMPRODUCT((YEAR(Transactions!A2:A1000)=A5)*(Transactions!E2:E1000="Investment")*(Transactions!D2:D1000))</f>
        <v>0</v>
      </c>
      <c r="E5">
        <f>B5-C5-D5</f>
        <v>0</v>
      </c>
      <c r="F5">
        <f>E5+D5</f>
        <v>0</v>
      </c>
      <c r="G5" t="str">
        <f>IF(E5&gt;0,"✅ Positive Savings","⚠ Low Savings")</f>
        <v>⚠ Low Savings</v>
      </c>
    </row>
    <row r="6" spans="1:7">
      <c r="A6">
        <v>2030</v>
      </c>
      <c r="B6">
        <f>SUMPRODUCT((YEAR(Transactions!A2:A1000)=A6)*(Transactions!E2:E1000="Income")*(Transactions!D2:D1000))</f>
        <v>0</v>
      </c>
      <c r="C6">
        <f>SUMPRODUCT((YEAR(Transactions!A2:A1000)=A6)*(Transactions!E2:E1000="Expense")*(Transactions!D2:D1000))</f>
        <v>0</v>
      </c>
      <c r="D6">
        <f>SUMPRODUCT((YEAR(Transactions!A2:A1000)=A6)*(Transactions!E2:E1000="Investment")*(Transactions!D2:D1000))</f>
        <v>0</v>
      </c>
      <c r="E6">
        <f>B6-C6-D6</f>
        <v>0</v>
      </c>
      <c r="F6">
        <f>E6+D6</f>
        <v>0</v>
      </c>
      <c r="G6" t="str">
        <f>IF(E6&gt;0,"✅ Positive Savings","⚠ Low Savings")</f>
        <v>⚠ Low Savings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Transactions</vt:lpstr>
      <vt:lpstr>Monthly Summary</vt:lpstr>
      <vt:lpstr>Dashboard</vt:lpstr>
      <vt:lpstr>Expense Analysis</vt:lpstr>
      <vt:lpstr>Monthwise Analysis</vt:lpstr>
      <vt:lpstr>Yearly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sushil</cp:lastModifiedBy>
  <dcterms:created xsi:type="dcterms:W3CDTF">2026-05-10T09:17:00Z</dcterms:created>
  <dcterms:modified xsi:type="dcterms:W3CDTF">2026-05-10T09:38:28Z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645BE59F2CC0E4C3BC04006ACE27284B_42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